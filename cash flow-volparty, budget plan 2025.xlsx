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flow 2025" sheetId="1" r:id="rId4"/>
    <sheet state="visible" name="cash flow 2026" sheetId="2" r:id="rId5"/>
    <sheet state="visible" name="budget 2025" sheetId="3" r:id="rId6"/>
  </sheets>
  <definedNames/>
  <calcPr/>
  <extLst>
    <ext uri="GoogleSheetsCustomDataVersion2">
      <go:sheetsCustomData xmlns:go="http://customooxmlschemas.google.com/" r:id="rId7" roundtripDataChecksum="JGCUk3ictKP91+MCdv2GVmFsVO89ngwIZx7b0LtzvPk="/>
    </ext>
  </extLst>
</workbook>
</file>

<file path=xl/sharedStrings.xml><?xml version="1.0" encoding="utf-8"?>
<sst xmlns="http://schemas.openxmlformats.org/spreadsheetml/2006/main" count="36" uniqueCount="25">
  <si>
    <t>Date</t>
  </si>
  <si>
    <t>Total income</t>
  </si>
  <si>
    <t>Equipment costs:</t>
  </si>
  <si>
    <t>Turnament Prizes</t>
  </si>
  <si>
    <t>Whistle and scoreboard</t>
  </si>
  <si>
    <t>Treats for players</t>
  </si>
  <si>
    <t>Hall cost in Kiryat yam</t>
  </si>
  <si>
    <t>Total expenses</t>
  </si>
  <si>
    <t>Balance</t>
  </si>
  <si>
    <t>Expected income from Fridays (15 shek per game)</t>
  </si>
  <si>
    <t>Number of Fridays until the end of 2025</t>
  </si>
  <si>
    <t>Expected income from Fridays (20 shek per game)</t>
  </si>
  <si>
    <t>start</t>
  </si>
  <si>
    <t xml:space="preserve">    *18 players every Friday</t>
  </si>
  <si>
    <t>end</t>
  </si>
  <si>
    <t>Estimated recurrent expenses:</t>
  </si>
  <si>
    <t>equipment</t>
  </si>
  <si>
    <t>Possible expenses:</t>
  </si>
  <si>
    <t xml:space="preserve">          trainer (once every two weeks)</t>
  </si>
  <si>
    <t xml:space="preserve">          tournament prizes (once a month)</t>
  </si>
  <si>
    <t>Total possible expenses:</t>
  </si>
  <si>
    <t>Approximate rent for an additional hall by the end of 2025:</t>
  </si>
  <si>
    <t>Number of Mondays until the end of 2025</t>
  </si>
  <si>
    <t>For example: Khalisa 2 hours on Mondays for 12 people</t>
  </si>
  <si>
    <t>Payment for the hall per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</si>
</sst>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d&quot;/&quot;mm"/>
    <numFmt numFmtId="166" formatCode="d/m"/>
    <numFmt numFmtId="167" formatCode="_ * #,##0_ ;_ * \-#,##0_ ;_ * &quot;-&quot;??_ ;_ @_ "/>
    <numFmt numFmtId="168" formatCode="D/M/YYYY"/>
  </numFmts>
  <fonts count="7">
    <font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D5A6BD"/>
        <bgColor rgb="FFD5A6BD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DADADA"/>
        <bgColor rgb="FFDADAD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1" numFmtId="165" xfId="0" applyBorder="1" applyFont="1" applyNumberFormat="1"/>
    <xf borderId="1" fillId="0" fontId="1" numFmtId="166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6" xfId="0" applyBorder="1" applyFont="1" applyNumberFormat="1"/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3" numFmtId="0" xfId="0" applyBorder="1" applyFill="1" applyFont="1"/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Border="1" applyFont="1"/>
    <xf borderId="1" fillId="4" fontId="3" numFmtId="0" xfId="0" applyAlignment="1" applyBorder="1" applyFill="1" applyFont="1">
      <alignment readingOrder="0"/>
    </xf>
    <xf borderId="1" fillId="4" fontId="3" numFmtId="0" xfId="0" applyBorder="1" applyFont="1"/>
    <xf borderId="1" fillId="5" fontId="3" numFmtId="0" xfId="0" applyBorder="1" applyFill="1" applyFont="1"/>
    <xf borderId="1" fillId="5" fontId="3" numFmtId="0" xfId="0" applyAlignment="1" applyBorder="1" applyFont="1">
      <alignment readingOrder="0"/>
    </xf>
    <xf borderId="1" fillId="6" fontId="3" numFmtId="0" xfId="0" applyBorder="1" applyFill="1" applyFont="1"/>
    <xf borderId="0" fillId="0" fontId="4" numFmtId="0" xfId="0" applyAlignment="1" applyFont="1">
      <alignment horizontal="center"/>
    </xf>
    <xf borderId="0" fillId="0" fontId="4" numFmtId="166" xfId="0" applyFont="1" applyNumberFormat="1"/>
    <xf borderId="0" fillId="0" fontId="4" numFmtId="0" xfId="0" applyFont="1"/>
    <xf borderId="2" fillId="7" fontId="3" numFmtId="0" xfId="0" applyAlignment="1" applyBorder="1" applyFill="1" applyFont="1">
      <alignment vertical="center"/>
    </xf>
    <xf borderId="2" fillId="7" fontId="3" numFmtId="167" xfId="0" applyAlignment="1" applyBorder="1" applyFont="1" applyNumberFormat="1">
      <alignment vertical="center"/>
    </xf>
    <xf borderId="0" fillId="0" fontId="5" numFmtId="0" xfId="0" applyAlignment="1" applyFont="1">
      <alignment vertical="top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vertical="center"/>
    </xf>
    <xf borderId="2" fillId="7" fontId="3" numFmtId="0" xfId="0" applyBorder="1" applyFont="1"/>
    <xf borderId="2" fillId="7" fontId="3" numFmtId="167" xfId="0" applyBorder="1" applyFont="1" applyNumberFormat="1"/>
    <xf borderId="5" fillId="0" fontId="3" numFmtId="0" xfId="0" applyBorder="1" applyFont="1"/>
    <xf borderId="6" fillId="0" fontId="3" numFmtId="168" xfId="0" applyBorder="1" applyFont="1" applyNumberFormat="1"/>
    <xf borderId="0" fillId="0" fontId="6" numFmtId="0" xfId="0" applyFont="1"/>
    <xf borderId="7" fillId="0" fontId="3" numFmtId="0" xfId="0" applyBorder="1" applyFont="1"/>
    <xf borderId="8" fillId="0" fontId="3" numFmtId="168" xfId="0" applyBorder="1" applyFont="1" applyNumberFormat="1"/>
    <xf borderId="0" fillId="0" fontId="3" numFmtId="167" xfId="0" applyFont="1" applyNumberFormat="1"/>
    <xf borderId="0" fillId="0" fontId="3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hidden="1" min="2" max="15" width="5.13"/>
    <col customWidth="1" min="16" max="49" width="5.13"/>
  </cols>
  <sheetData>
    <row r="1" ht="13.5" customHeight="1">
      <c r="A1" s="1" t="s">
        <v>0</v>
      </c>
      <c r="B1" s="2">
        <v>45786.0</v>
      </c>
      <c r="C1" s="3">
        <f t="shared" ref="C1:J1" si="1">B1+7</f>
        <v>45793</v>
      </c>
      <c r="D1" s="3">
        <f t="shared" si="1"/>
        <v>45800</v>
      </c>
      <c r="E1" s="3">
        <f t="shared" si="1"/>
        <v>45807</v>
      </c>
      <c r="F1" s="3">
        <f t="shared" si="1"/>
        <v>45814</v>
      </c>
      <c r="G1" s="3">
        <f t="shared" si="1"/>
        <v>45821</v>
      </c>
      <c r="H1" s="3">
        <f t="shared" si="1"/>
        <v>45828</v>
      </c>
      <c r="I1" s="3">
        <f t="shared" si="1"/>
        <v>45835</v>
      </c>
      <c r="J1" s="3">
        <f t="shared" si="1"/>
        <v>45842</v>
      </c>
      <c r="K1" s="4">
        <v>45849.0</v>
      </c>
      <c r="L1" s="4">
        <f t="shared" ref="L1:Y1" si="2">K1+7</f>
        <v>45856</v>
      </c>
      <c r="M1" s="4">
        <f t="shared" si="2"/>
        <v>45863</v>
      </c>
      <c r="N1" s="4">
        <f t="shared" si="2"/>
        <v>45870</v>
      </c>
      <c r="O1" s="4">
        <f t="shared" si="2"/>
        <v>45877</v>
      </c>
      <c r="P1" s="4">
        <f t="shared" si="2"/>
        <v>45884</v>
      </c>
      <c r="Q1" s="4">
        <f t="shared" si="2"/>
        <v>45891</v>
      </c>
      <c r="R1" s="4">
        <f t="shared" si="2"/>
        <v>45898</v>
      </c>
      <c r="S1" s="4">
        <f t="shared" si="2"/>
        <v>45905</v>
      </c>
      <c r="T1" s="4">
        <f t="shared" si="2"/>
        <v>45912</v>
      </c>
      <c r="U1" s="4">
        <f t="shared" si="2"/>
        <v>45919</v>
      </c>
      <c r="V1" s="4">
        <f t="shared" si="2"/>
        <v>45926</v>
      </c>
      <c r="W1" s="4">
        <f t="shared" si="2"/>
        <v>45933</v>
      </c>
      <c r="X1" s="4">
        <f t="shared" si="2"/>
        <v>45940</v>
      </c>
      <c r="Y1" s="4">
        <f t="shared" si="2"/>
        <v>45947</v>
      </c>
      <c r="Z1" s="5">
        <v>45952.0</v>
      </c>
      <c r="AA1" s="4">
        <f>Y1+7</f>
        <v>45954</v>
      </c>
      <c r="AB1" s="5">
        <v>45959.0</v>
      </c>
      <c r="AC1" s="4">
        <f>AA1+7</f>
        <v>45961</v>
      </c>
      <c r="AD1" s="6">
        <v>45966.0</v>
      </c>
      <c r="AE1" s="4">
        <f>AC1+7</f>
        <v>45968</v>
      </c>
      <c r="AF1" s="5">
        <v>45973.0</v>
      </c>
      <c r="AG1" s="4">
        <f>AE1+7</f>
        <v>45975</v>
      </c>
      <c r="AH1" s="5">
        <v>45980.0</v>
      </c>
      <c r="AI1" s="4">
        <f>AG1+7</f>
        <v>45982</v>
      </c>
      <c r="AJ1" s="5">
        <v>45987.0</v>
      </c>
      <c r="AK1" s="4">
        <f>AI1+7</f>
        <v>45989</v>
      </c>
      <c r="AL1" s="6">
        <v>45994.0</v>
      </c>
      <c r="AM1" s="4">
        <f>AK1+7</f>
        <v>45996</v>
      </c>
      <c r="AN1" s="5">
        <v>46001.0</v>
      </c>
      <c r="AO1" s="4">
        <f>AM1+7</f>
        <v>46003</v>
      </c>
      <c r="AP1" s="5">
        <v>46008.0</v>
      </c>
      <c r="AQ1" s="4">
        <f>AO1+7</f>
        <v>46010</v>
      </c>
      <c r="AR1" s="7">
        <f t="shared" ref="AR1:AS1" si="3">AP1+7</f>
        <v>46015</v>
      </c>
      <c r="AS1" s="4">
        <f t="shared" si="3"/>
        <v>46017</v>
      </c>
      <c r="AT1" s="7">
        <f t="shared" ref="AT1:AU1" si="4">AR1+7</f>
        <v>46022</v>
      </c>
      <c r="AU1" s="4">
        <f t="shared" si="4"/>
        <v>46024</v>
      </c>
      <c r="AV1" s="4">
        <f>AU1+7</f>
        <v>46031</v>
      </c>
      <c r="AW1" s="6"/>
    </row>
    <row r="2" ht="13.5" customHeight="1">
      <c r="A2" s="8" t="s">
        <v>1</v>
      </c>
      <c r="B2" s="8">
        <v>270.0</v>
      </c>
      <c r="C2" s="9">
        <v>60.0</v>
      </c>
      <c r="D2" s="9">
        <v>285.0</v>
      </c>
      <c r="E2" s="9">
        <v>270.0</v>
      </c>
      <c r="F2" s="8">
        <f t="shared" ref="F2:G2" si="5">18*15</f>
        <v>270</v>
      </c>
      <c r="G2" s="9">
        <f t="shared" si="5"/>
        <v>270</v>
      </c>
      <c r="H2" s="9">
        <v>0.0</v>
      </c>
      <c r="I2" s="9">
        <f>18*15</f>
        <v>270</v>
      </c>
      <c r="J2" s="9">
        <v>270.0</v>
      </c>
      <c r="K2" s="9">
        <v>270.0</v>
      </c>
      <c r="L2" s="9">
        <v>270.0</v>
      </c>
      <c r="M2" s="9">
        <v>270.0</v>
      </c>
      <c r="N2" s="9">
        <v>255.0</v>
      </c>
      <c r="O2" s="8">
        <f>15*15</f>
        <v>225</v>
      </c>
      <c r="P2" s="9">
        <v>270.0</v>
      </c>
      <c r="Q2" s="9">
        <v>270.0</v>
      </c>
      <c r="R2" s="9">
        <v>225.0</v>
      </c>
      <c r="S2" s="9">
        <v>240.0</v>
      </c>
      <c r="T2" s="9">
        <v>270.0</v>
      </c>
      <c r="U2" s="9">
        <v>270.0</v>
      </c>
      <c r="V2" s="9">
        <v>270.0</v>
      </c>
      <c r="W2" s="9">
        <v>270.0</v>
      </c>
      <c r="X2" s="9">
        <v>270.0</v>
      </c>
      <c r="Y2" s="9">
        <v>270.0</v>
      </c>
      <c r="Z2" s="9">
        <f>20*12</f>
        <v>240</v>
      </c>
      <c r="AA2" s="9">
        <v>270.0</v>
      </c>
      <c r="AB2" s="9">
        <v>240.0</v>
      </c>
      <c r="AC2" s="9">
        <v>270.0</v>
      </c>
      <c r="AD2" s="9">
        <v>240.0</v>
      </c>
      <c r="AE2" s="9">
        <v>270.0</v>
      </c>
      <c r="AF2" s="9">
        <v>240.0</v>
      </c>
      <c r="AG2" s="9">
        <v>270.0</v>
      </c>
      <c r="AH2" s="9">
        <v>240.0</v>
      </c>
      <c r="AI2" s="9">
        <v>270.0</v>
      </c>
      <c r="AJ2" s="9">
        <v>240.0</v>
      </c>
      <c r="AK2" s="9">
        <v>270.0</v>
      </c>
      <c r="AL2" s="9">
        <v>240.0</v>
      </c>
      <c r="AM2" s="9">
        <v>480.0</v>
      </c>
      <c r="AN2" s="9">
        <v>240.0</v>
      </c>
      <c r="AO2" s="9">
        <v>270.0</v>
      </c>
      <c r="AP2" s="9">
        <v>240.0</v>
      </c>
      <c r="AQ2" s="9">
        <v>270.0</v>
      </c>
      <c r="AR2" s="9">
        <v>240.0</v>
      </c>
      <c r="AS2" s="9">
        <v>270.0</v>
      </c>
      <c r="AT2" s="9"/>
      <c r="AU2" s="9"/>
      <c r="AV2" s="9"/>
      <c r="AW2" s="9"/>
    </row>
    <row r="3" ht="13.5" customHeight="1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ht="13.5" customHeight="1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ht="13.5" customHeight="1">
      <c r="A5" s="13" t="s">
        <v>3</v>
      </c>
      <c r="B5" s="12"/>
      <c r="C5" s="12"/>
      <c r="D5" s="12"/>
      <c r="E5" s="14">
        <v>250.0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4">
        <v>547.0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4"/>
      <c r="AM5" s="14">
        <v>1100.0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ht="13.5" customHeight="1">
      <c r="A6" s="15" t="s">
        <v>4</v>
      </c>
      <c r="B6" s="12">
        <v>170.0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ht="13.5" customHeight="1">
      <c r="A7" s="13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>
        <v>354.0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4"/>
      <c r="AI7" s="14">
        <v>265.0</v>
      </c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ht="13.5" customHeight="1">
      <c r="A8" s="16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6"/>
      <c r="M8" s="16"/>
      <c r="N8" s="16"/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16">
        <v>250.0</v>
      </c>
      <c r="AA8" s="17"/>
      <c r="AB8" s="16">
        <v>250.0</v>
      </c>
      <c r="AC8" s="17"/>
      <c r="AD8" s="16">
        <v>250.0</v>
      </c>
      <c r="AE8" s="17"/>
      <c r="AF8" s="16">
        <v>250.0</v>
      </c>
      <c r="AG8" s="17"/>
      <c r="AH8" s="16">
        <v>250.0</v>
      </c>
      <c r="AI8" s="17"/>
      <c r="AJ8" s="16">
        <v>250.0</v>
      </c>
      <c r="AK8" s="17"/>
      <c r="AL8" s="16">
        <v>250.0</v>
      </c>
      <c r="AM8" s="17"/>
      <c r="AN8" s="16">
        <v>250.0</v>
      </c>
      <c r="AO8" s="17"/>
      <c r="AP8" s="16">
        <v>250.0</v>
      </c>
      <c r="AQ8" s="17"/>
      <c r="AR8" s="16">
        <v>250.0</v>
      </c>
      <c r="AS8" s="17"/>
      <c r="AT8" s="17"/>
      <c r="AU8" s="17"/>
      <c r="AV8" s="17"/>
      <c r="AW8" s="17"/>
    </row>
    <row r="9" ht="13.5" customHeight="1">
      <c r="A9" s="18" t="s">
        <v>7</v>
      </c>
      <c r="B9" s="18">
        <f t="shared" ref="B9:K9" si="6">SUM(B5:B7)</f>
        <v>170</v>
      </c>
      <c r="C9" s="18">
        <f t="shared" si="6"/>
        <v>0</v>
      </c>
      <c r="D9" s="18">
        <f t="shared" si="6"/>
        <v>0</v>
      </c>
      <c r="E9" s="18">
        <f t="shared" si="6"/>
        <v>250</v>
      </c>
      <c r="F9" s="18">
        <f t="shared" si="6"/>
        <v>0</v>
      </c>
      <c r="G9" s="18">
        <f t="shared" si="6"/>
        <v>0</v>
      </c>
      <c r="H9" s="18">
        <f t="shared" si="6"/>
        <v>0</v>
      </c>
      <c r="I9" s="18">
        <f t="shared" si="6"/>
        <v>0</v>
      </c>
      <c r="J9" s="18">
        <f t="shared" si="6"/>
        <v>0</v>
      </c>
      <c r="K9" s="18">
        <f t="shared" si="6"/>
        <v>354</v>
      </c>
      <c r="L9" s="19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8">
        <f t="shared" ref="R9:Y9" si="7">SUM(R5:R7)</f>
        <v>547</v>
      </c>
      <c r="S9" s="18">
        <f t="shared" si="7"/>
        <v>0</v>
      </c>
      <c r="T9" s="18">
        <f t="shared" si="7"/>
        <v>0</v>
      </c>
      <c r="U9" s="18">
        <f t="shared" si="7"/>
        <v>0</v>
      </c>
      <c r="V9" s="18">
        <f t="shared" si="7"/>
        <v>0</v>
      </c>
      <c r="W9" s="18">
        <f t="shared" si="7"/>
        <v>0</v>
      </c>
      <c r="X9" s="18">
        <f t="shared" si="7"/>
        <v>0</v>
      </c>
      <c r="Y9" s="18">
        <f t="shared" si="7"/>
        <v>0</v>
      </c>
      <c r="Z9" s="18">
        <f>SUM(Z5:Z8)</f>
        <v>250</v>
      </c>
      <c r="AA9" s="18">
        <f>SUM(AA5:AA7)</f>
        <v>0</v>
      </c>
      <c r="AB9" s="18">
        <f>SUM(AB5:AB8)</f>
        <v>250</v>
      </c>
      <c r="AC9" s="18">
        <f>SUM(AC5:AC7)</f>
        <v>0</v>
      </c>
      <c r="AD9" s="18">
        <f>SUM(AD5:AD8)</f>
        <v>250</v>
      </c>
      <c r="AE9" s="18">
        <f>SUM(AE5:AE7)</f>
        <v>0</v>
      </c>
      <c r="AF9" s="18">
        <f>SUM(AF5:AF8)</f>
        <v>250</v>
      </c>
      <c r="AG9" s="18">
        <f>SUM(AG5:AG7)</f>
        <v>0</v>
      </c>
      <c r="AH9" s="18">
        <f>SUM(AH5:AH8)</f>
        <v>250</v>
      </c>
      <c r="AI9" s="18">
        <f>SUM(AI5:AI7)</f>
        <v>265</v>
      </c>
      <c r="AJ9" s="18">
        <f>SUM(AJ5:AJ8)</f>
        <v>250</v>
      </c>
      <c r="AK9" s="18">
        <f>SUM(AK5:AK7)</f>
        <v>0</v>
      </c>
      <c r="AL9" s="18">
        <f>SUM(AL5:AL8)</f>
        <v>250</v>
      </c>
      <c r="AM9" s="18">
        <f>SUM(AM5:AM7)</f>
        <v>1100</v>
      </c>
      <c r="AN9" s="18">
        <f>SUM(AN5:AN8)</f>
        <v>250</v>
      </c>
      <c r="AO9" s="18">
        <f>SUM(AO5:AO7)</f>
        <v>0</v>
      </c>
      <c r="AP9" s="18">
        <f>SUM(AP5:AP8)</f>
        <v>250</v>
      </c>
      <c r="AQ9" s="18">
        <f>SUM(AQ5:AQ7)</f>
        <v>0</v>
      </c>
      <c r="AR9" s="18">
        <f>SUM(AR5:AR8)</f>
        <v>250</v>
      </c>
      <c r="AS9" s="18">
        <f>SUM(AS5:AS7)</f>
        <v>0</v>
      </c>
      <c r="AT9" s="18"/>
      <c r="AU9" s="18">
        <f t="shared" ref="AU9:AW9" si="8">SUM(AU5:AU7)</f>
        <v>0</v>
      </c>
      <c r="AV9" s="18">
        <f t="shared" si="8"/>
        <v>0</v>
      </c>
      <c r="AW9" s="18">
        <f t="shared" si="8"/>
        <v>0</v>
      </c>
    </row>
    <row r="10" ht="13.5" customHeight="1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ht="13.5" customHeight="1">
      <c r="A11" s="20" t="s">
        <v>8</v>
      </c>
      <c r="B11" s="20">
        <f>B2-B9</f>
        <v>100</v>
      </c>
      <c r="C11" s="20">
        <f t="shared" ref="C11:AS11" si="9">B11+C2-C9</f>
        <v>160</v>
      </c>
      <c r="D11" s="20">
        <f t="shared" si="9"/>
        <v>445</v>
      </c>
      <c r="E11" s="20">
        <f t="shared" si="9"/>
        <v>465</v>
      </c>
      <c r="F11" s="20">
        <f t="shared" si="9"/>
        <v>735</v>
      </c>
      <c r="G11" s="20">
        <f t="shared" si="9"/>
        <v>1005</v>
      </c>
      <c r="H11" s="20">
        <f t="shared" si="9"/>
        <v>1005</v>
      </c>
      <c r="I11" s="20">
        <f t="shared" si="9"/>
        <v>1275</v>
      </c>
      <c r="J11" s="20">
        <f t="shared" si="9"/>
        <v>1545</v>
      </c>
      <c r="K11" s="20">
        <f t="shared" si="9"/>
        <v>1461</v>
      </c>
      <c r="L11" s="20">
        <f t="shared" si="9"/>
        <v>1731</v>
      </c>
      <c r="M11" s="20">
        <f t="shared" si="9"/>
        <v>2001</v>
      </c>
      <c r="N11" s="20">
        <f t="shared" si="9"/>
        <v>2256</v>
      </c>
      <c r="O11" s="20">
        <f t="shared" si="9"/>
        <v>2481</v>
      </c>
      <c r="P11" s="20">
        <f t="shared" si="9"/>
        <v>2751</v>
      </c>
      <c r="Q11" s="20">
        <f t="shared" si="9"/>
        <v>3021</v>
      </c>
      <c r="R11" s="20">
        <f t="shared" si="9"/>
        <v>2699</v>
      </c>
      <c r="S11" s="20">
        <f t="shared" si="9"/>
        <v>2939</v>
      </c>
      <c r="T11" s="20">
        <f t="shared" si="9"/>
        <v>3209</v>
      </c>
      <c r="U11" s="20">
        <f t="shared" si="9"/>
        <v>3479</v>
      </c>
      <c r="V11" s="20">
        <f t="shared" si="9"/>
        <v>3749</v>
      </c>
      <c r="W11" s="20">
        <f t="shared" si="9"/>
        <v>4019</v>
      </c>
      <c r="X11" s="20">
        <f t="shared" si="9"/>
        <v>4289</v>
      </c>
      <c r="Y11" s="20">
        <f t="shared" si="9"/>
        <v>4559</v>
      </c>
      <c r="Z11" s="20">
        <f t="shared" si="9"/>
        <v>4549</v>
      </c>
      <c r="AA11" s="20">
        <f t="shared" si="9"/>
        <v>4819</v>
      </c>
      <c r="AB11" s="20">
        <f t="shared" si="9"/>
        <v>4809</v>
      </c>
      <c r="AC11" s="20">
        <f t="shared" si="9"/>
        <v>5079</v>
      </c>
      <c r="AD11" s="20">
        <f t="shared" si="9"/>
        <v>5069</v>
      </c>
      <c r="AE11" s="20">
        <f t="shared" si="9"/>
        <v>5339</v>
      </c>
      <c r="AF11" s="20">
        <f t="shared" si="9"/>
        <v>5329</v>
      </c>
      <c r="AG11" s="20">
        <f t="shared" si="9"/>
        <v>5599</v>
      </c>
      <c r="AH11" s="20">
        <f t="shared" si="9"/>
        <v>5589</v>
      </c>
      <c r="AI11" s="20">
        <f t="shared" si="9"/>
        <v>5594</v>
      </c>
      <c r="AJ11" s="20">
        <f t="shared" si="9"/>
        <v>5584</v>
      </c>
      <c r="AK11" s="20">
        <f t="shared" si="9"/>
        <v>5854</v>
      </c>
      <c r="AL11" s="20">
        <f t="shared" si="9"/>
        <v>5844</v>
      </c>
      <c r="AM11" s="20">
        <f t="shared" si="9"/>
        <v>5224</v>
      </c>
      <c r="AN11" s="20">
        <f t="shared" si="9"/>
        <v>5214</v>
      </c>
      <c r="AO11" s="20">
        <f t="shared" si="9"/>
        <v>5484</v>
      </c>
      <c r="AP11" s="20">
        <f t="shared" si="9"/>
        <v>5474</v>
      </c>
      <c r="AQ11" s="20">
        <f t="shared" si="9"/>
        <v>5744</v>
      </c>
      <c r="AR11" s="20">
        <f t="shared" si="9"/>
        <v>5734</v>
      </c>
      <c r="AS11" s="20">
        <f t="shared" si="9"/>
        <v>6004</v>
      </c>
      <c r="AT11" s="20"/>
      <c r="AU11" s="20">
        <f>AS11+AU2-AU9</f>
        <v>6004</v>
      </c>
      <c r="AV11" s="20">
        <f t="shared" ref="AV11:AW11" si="10">AU11+AV2-AV9</f>
        <v>6004</v>
      </c>
      <c r="AW11" s="20">
        <f t="shared" si="10"/>
        <v>6004</v>
      </c>
    </row>
    <row r="12" ht="13.5" customHeight="1"/>
    <row r="13" ht="13.5" customHeight="1"/>
    <row r="14" ht="13.5" customHeight="1"/>
    <row r="15" ht="13.5" customHeight="1">
      <c r="AM15" s="21">
        <f>4832-AR11</f>
        <v>-902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</cols>
  <sheetData>
    <row r="1">
      <c r="A1" s="1" t="s">
        <v>0</v>
      </c>
      <c r="B1" s="4">
        <v>45659.0</v>
      </c>
      <c r="C1" s="4">
        <v>45664.0</v>
      </c>
      <c r="D1" s="4">
        <f>C1+2</f>
        <v>45666</v>
      </c>
      <c r="E1" s="4">
        <f>D1+5</f>
        <v>45671</v>
      </c>
      <c r="F1" s="4">
        <f>E1+2</f>
        <v>45673</v>
      </c>
      <c r="G1" s="4">
        <f>F1+5</f>
        <v>45678</v>
      </c>
      <c r="H1" s="4">
        <f>G1+2</f>
        <v>45680</v>
      </c>
      <c r="I1" s="4">
        <f>H1+5</f>
        <v>45685</v>
      </c>
      <c r="J1" s="4">
        <f>I1+2</f>
        <v>45687</v>
      </c>
      <c r="K1" s="4">
        <f>J1+5</f>
        <v>45692</v>
      </c>
      <c r="L1" s="5">
        <f>K1+2</f>
        <v>45694</v>
      </c>
      <c r="M1" s="4">
        <f>L1+5</f>
        <v>45699</v>
      </c>
      <c r="N1" s="5">
        <f>M1+2</f>
        <v>45701</v>
      </c>
      <c r="O1" s="4">
        <f>N1+5</f>
        <v>45706</v>
      </c>
      <c r="P1" s="6">
        <f>O1+2</f>
        <v>45708</v>
      </c>
      <c r="Q1" s="4">
        <f>P1+5</f>
        <v>45713</v>
      </c>
      <c r="R1" s="5">
        <f>Q1+2</f>
        <v>45715</v>
      </c>
      <c r="S1" s="22">
        <f>R1+5</f>
        <v>45720</v>
      </c>
      <c r="T1" s="22">
        <f>S1+2</f>
        <v>45722</v>
      </c>
      <c r="U1" s="22">
        <f>T1+5</f>
        <v>45727</v>
      </c>
      <c r="V1" s="22">
        <f>U1+2</f>
        <v>45729</v>
      </c>
      <c r="W1" s="22">
        <f>V1+5</f>
        <v>45734</v>
      </c>
      <c r="X1" s="22">
        <f>W1+2</f>
        <v>45736</v>
      </c>
      <c r="Y1" s="22">
        <f>X1+5</f>
        <v>45741</v>
      </c>
      <c r="Z1" s="23">
        <f>AH1+5</f>
        <v>5</v>
      </c>
    </row>
    <row r="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>
      <c r="A5" s="13" t="s">
        <v>3</v>
      </c>
      <c r="B5" s="12"/>
      <c r="C5" s="12"/>
      <c r="D5" s="14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15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13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16" t="s">
        <v>6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6"/>
      <c r="M8" s="17"/>
      <c r="N8" s="16"/>
      <c r="O8" s="17"/>
      <c r="P8" s="16"/>
      <c r="Q8" s="17"/>
      <c r="R8" s="16"/>
    </row>
    <row r="9">
      <c r="A9" s="18" t="s">
        <v>7</v>
      </c>
      <c r="B9" s="19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20" t="s">
        <v>8</v>
      </c>
      <c r="B11" s="20">
        <f>'cash flow 2025'!AV11+B2-B9</f>
        <v>6004</v>
      </c>
      <c r="C11" s="20">
        <f t="shared" ref="C11:Z11" si="1">B11+C2-C9</f>
        <v>6004</v>
      </c>
      <c r="D11" s="20">
        <f t="shared" si="1"/>
        <v>6004</v>
      </c>
      <c r="E11" s="20">
        <f t="shared" si="1"/>
        <v>6004</v>
      </c>
      <c r="F11" s="20">
        <f t="shared" si="1"/>
        <v>6004</v>
      </c>
      <c r="G11" s="20">
        <f t="shared" si="1"/>
        <v>6004</v>
      </c>
      <c r="H11" s="20">
        <f t="shared" si="1"/>
        <v>6004</v>
      </c>
      <c r="I11" s="20">
        <f t="shared" si="1"/>
        <v>6004</v>
      </c>
      <c r="J11" s="20">
        <f t="shared" si="1"/>
        <v>6004</v>
      </c>
      <c r="K11" s="20">
        <f t="shared" si="1"/>
        <v>6004</v>
      </c>
      <c r="L11" s="20">
        <f t="shared" si="1"/>
        <v>6004</v>
      </c>
      <c r="M11" s="20">
        <f t="shared" si="1"/>
        <v>6004</v>
      </c>
      <c r="N11" s="20">
        <f t="shared" si="1"/>
        <v>6004</v>
      </c>
      <c r="O11" s="20">
        <f t="shared" si="1"/>
        <v>6004</v>
      </c>
      <c r="P11" s="20">
        <f t="shared" si="1"/>
        <v>6004</v>
      </c>
      <c r="Q11" s="20">
        <f t="shared" si="1"/>
        <v>6004</v>
      </c>
      <c r="R11" s="20">
        <f t="shared" si="1"/>
        <v>6004</v>
      </c>
      <c r="S11" s="23">
        <f t="shared" si="1"/>
        <v>6004</v>
      </c>
      <c r="T11" s="23">
        <f t="shared" si="1"/>
        <v>6004</v>
      </c>
      <c r="U11" s="23">
        <f t="shared" si="1"/>
        <v>6004</v>
      </c>
      <c r="V11" s="23">
        <f t="shared" si="1"/>
        <v>6004</v>
      </c>
      <c r="W11" s="23">
        <f t="shared" si="1"/>
        <v>6004</v>
      </c>
      <c r="X11" s="23">
        <f t="shared" si="1"/>
        <v>6004</v>
      </c>
      <c r="Y11" s="23">
        <f t="shared" si="1"/>
        <v>6004</v>
      </c>
      <c r="Z11" s="23">
        <f t="shared" si="1"/>
        <v>6004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14.25"/>
    <col customWidth="1" min="3" max="6" width="8.63"/>
    <col customWidth="1" min="7" max="7" width="36.63"/>
    <col customWidth="1" min="8" max="8" width="11.88"/>
    <col customWidth="1" min="9" max="26" width="8.63"/>
  </cols>
  <sheetData>
    <row r="1" ht="13.5" customHeight="1"/>
    <row r="2" ht="13.5" customHeight="1"/>
    <row r="3" ht="13.5" customHeight="1">
      <c r="A3" s="24" t="s">
        <v>9</v>
      </c>
      <c r="B3" s="25">
        <f>H3*15*18</f>
        <v>8910</v>
      </c>
      <c r="C3" s="26"/>
      <c r="G3" s="27" t="s">
        <v>10</v>
      </c>
      <c r="H3" s="28">
        <f>_xlfn.NETWORKDAYS.INTL(H4,H5,"1111011")</f>
        <v>33</v>
      </c>
    </row>
    <row r="4" ht="13.5" customHeight="1">
      <c r="A4" s="29" t="s">
        <v>11</v>
      </c>
      <c r="B4" s="30">
        <f>H3*20*18</f>
        <v>11880</v>
      </c>
      <c r="C4" s="26"/>
      <c r="G4" s="31" t="s">
        <v>12</v>
      </c>
      <c r="H4" s="32">
        <v>45789.0</v>
      </c>
    </row>
    <row r="5" ht="13.5" customHeight="1">
      <c r="A5" s="33" t="s">
        <v>13</v>
      </c>
      <c r="G5" s="34" t="s">
        <v>14</v>
      </c>
      <c r="H5" s="35">
        <v>46022.0</v>
      </c>
    </row>
    <row r="6" ht="13.5" customHeight="1"/>
    <row r="7" ht="13.5" customHeight="1">
      <c r="A7" s="23" t="s">
        <v>15</v>
      </c>
      <c r="B7" s="36"/>
    </row>
    <row r="8" ht="13.5" customHeight="1">
      <c r="A8" s="29" t="s">
        <v>16</v>
      </c>
      <c r="B8" s="29">
        <v>500.0</v>
      </c>
    </row>
    <row r="9" ht="13.5" customHeight="1"/>
    <row r="10" ht="13.5" customHeight="1">
      <c r="A10" s="23" t="s">
        <v>17</v>
      </c>
    </row>
    <row r="11" ht="13.5" customHeight="1">
      <c r="A11" s="23" t="s">
        <v>18</v>
      </c>
      <c r="B11" s="37">
        <f>H3/2*450</f>
        <v>7425</v>
      </c>
    </row>
    <row r="12" ht="13.5" customHeight="1">
      <c r="A12" s="23" t="s">
        <v>19</v>
      </c>
      <c r="B12" s="37">
        <f>H3/4*500</f>
        <v>4125</v>
      </c>
    </row>
    <row r="13" ht="13.5" customHeight="1">
      <c r="A13" s="29" t="s">
        <v>20</v>
      </c>
      <c r="B13" s="30">
        <f>SUM(B11:B12)</f>
        <v>11550</v>
      </c>
    </row>
    <row r="14" ht="13.5" customHeight="1"/>
    <row r="15" ht="13.5" customHeight="1"/>
    <row r="16" ht="13.5" customHeight="1">
      <c r="A16" s="29" t="s">
        <v>21</v>
      </c>
      <c r="G16" s="27" t="s">
        <v>22</v>
      </c>
      <c r="H16" s="28">
        <f>_xlfn.NETWORKDAYS.INTL(H17,H18,"0111111")</f>
        <v>31</v>
      </c>
    </row>
    <row r="17" ht="13.5" customHeight="1">
      <c r="A17" s="23" t="s">
        <v>23</v>
      </c>
      <c r="B17" s="37">
        <f>H16*400</f>
        <v>12400</v>
      </c>
      <c r="G17" s="31" t="s">
        <v>12</v>
      </c>
      <c r="H17" s="32">
        <v>45809.0</v>
      </c>
    </row>
    <row r="18" ht="13.5" customHeight="1">
      <c r="A18" s="23" t="s">
        <v>24</v>
      </c>
      <c r="B18" s="37">
        <f>400/12</f>
        <v>33.33333333</v>
      </c>
      <c r="G18" s="34" t="s">
        <v>14</v>
      </c>
      <c r="H18" s="35">
        <v>46022.0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2025-05-12T06:43:55Z</dcterms:created>
  <dc:creator>Alina Riazansky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0x010100016E19B97E83E34DBB6B1C1794CAAE0E</vt:lpwstr>
  </property>
</Properties>
</file>